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edidos" sheetId="3" state="visible" r:id="rId3"/>
    <sheet xmlns:r="http://schemas.openxmlformats.org/officeDocument/2006/relationships" name="Categorías" sheetId="4" state="visible" r:id="rId4"/>
    <sheet xmlns:r="http://schemas.openxmlformats.org/officeDocument/2006/relationships" name="Inventario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Usu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75E54"/>
      <sz val="14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75E54"/>
        <bgColor rgb="00075E54"/>
      </patternFill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49" fontId="0" fillId="0" borderId="0" pivotButton="0" quotePrefix="0" xfId="0"/>
    <xf numFmtId="3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75E54"/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5" customWidth="1" min="4" max="4"/>
    <col width="11" customWidth="1" min="5" max="5"/>
    <col width="16" customWidth="1" min="6" max="6"/>
    <col width="15" customWidth="1" min="7" max="7"/>
    <col width="16" customWidth="1" min="8" max="8"/>
    <col width="36" customWidth="1" min="9" max="9"/>
    <col width="28" customWidth="1" min="10" max="10"/>
    <col width="26" customWidth="1" min="11" max="11"/>
    <col width="14" customWidth="1" min="12" max="12"/>
    <col width="15" customWidth="1" min="13" max="13"/>
    <col width="22" customWidth="1" min="14" max="14"/>
    <col width="15" customWidth="1" min="15" max="15"/>
    <col width="13" customWidth="1" min="16" max="16"/>
    <col width="20" customWidth="1" min="17" max="17"/>
    <col width="42" customWidth="1" min="18" max="18"/>
  </cols>
  <sheetData>
    <row r="1" ht="28" customHeight="1">
      <c r="A1" s="1" t="inlineStr">
        <is>
          <t>ID Producto</t>
        </is>
      </c>
      <c r="B1" s="1" t="inlineStr">
        <is>
          <t>Nombre del Producto</t>
        </is>
      </c>
      <c r="C1" s="1" t="inlineStr">
        <is>
          <t>Categoría</t>
        </is>
      </c>
      <c r="D1" s="1" t="inlineStr">
        <is>
          <t>Precio (MXN)</t>
        </is>
      </c>
      <c r="E1" s="1" t="inlineStr">
        <is>
          <t>Cantidad</t>
        </is>
      </c>
      <c r="F1" s="1" t="inlineStr">
        <is>
          <t>Talla / Medida</t>
        </is>
      </c>
      <c r="G1" s="1" t="inlineStr">
        <is>
          <t>Color</t>
        </is>
      </c>
      <c r="H1" s="1" t="inlineStr">
        <is>
          <t>Marca</t>
        </is>
      </c>
      <c r="I1" s="1" t="inlineStr">
        <is>
          <t>Descripción</t>
        </is>
      </c>
      <c r="J1" s="1" t="inlineStr">
        <is>
          <t>URL Foto</t>
        </is>
      </c>
      <c r="K1" s="1" t="inlineStr">
        <is>
          <t>URL Video</t>
        </is>
      </c>
      <c r="L1" s="1" t="inlineStr">
        <is>
          <t>Condición</t>
        </is>
      </c>
      <c r="M1" s="1" t="inlineStr">
        <is>
          <t>Estado</t>
        </is>
      </c>
      <c r="N1" s="2" t="inlineStr">
        <is>
          <t>Disponibilidad Automática</t>
        </is>
      </c>
      <c r="O1" s="1" t="inlineStr">
        <is>
          <t>Fecha de Alta</t>
        </is>
      </c>
      <c r="P1" s="1" t="inlineStr">
        <is>
          <t>Destacado</t>
        </is>
      </c>
      <c r="Q1" s="1" t="inlineStr">
        <is>
          <t>Publicado en WhatsApp</t>
        </is>
      </c>
      <c r="R1" s="2" t="inlineStr">
        <is>
          <t>Enlace WhatsApp</t>
        </is>
      </c>
    </row>
    <row r="2">
      <c r="A2" s="3" t="inlineStr">
        <is>
          <t>P001</t>
        </is>
      </c>
      <c r="B2" s="3" t="inlineStr">
        <is>
          <t>Tenis Nike Air Max 90</t>
        </is>
      </c>
      <c r="C2" s="3" t="inlineStr">
        <is>
          <t>Calzado</t>
        </is>
      </c>
      <c r="D2" s="4" t="n">
        <v>1650</v>
      </c>
      <c r="E2" s="3" t="n">
        <v>1</v>
      </c>
      <c r="F2" s="3" t="inlineStr">
        <is>
          <t>26 MX (8 US)</t>
        </is>
      </c>
      <c r="G2" s="3" t="inlineStr">
        <is>
          <t>Negro</t>
        </is>
      </c>
      <c r="H2" s="3" t="inlineStr">
        <is>
          <t>Nike</t>
        </is>
      </c>
      <c r="I2" s="3" t="inlineStr">
        <is>
          <t>Tenis originales en caja, talla 26 MX (8 US)</t>
        </is>
      </c>
      <c r="J2" s="3" t="inlineStr">
        <is>
          <t>https://images.unsplash.com/photo-1542291026-7eec264c27ff?w=800</t>
        </is>
      </c>
      <c r="K2" s="3" t="inlineStr">
        <is>
          <t>https://ejemplo.com/videos/p001.mp4</t>
        </is>
      </c>
      <c r="L2" s="3" t="inlineStr">
        <is>
          <t>Nuevo</t>
        </is>
      </c>
      <c r="M2" s="3" t="inlineStr">
        <is>
          <t>Disponible</t>
        </is>
      </c>
      <c r="N2" s="3">
        <f>IF(A2="","",IF(M2="Oculto","Oculto",IF(M2="Apartado","Apartado",IF(OR(E2&lt;=0,M2="Vendido"),"Agotado","Disponible"))))</f>
        <v/>
      </c>
      <c r="O2" s="3" t="inlineStr">
        <is>
          <t>2026-10-30</t>
        </is>
      </c>
      <c r="P2" s="3" t="inlineStr">
        <is>
          <t>Sí</t>
        </is>
      </c>
      <c r="Q2" s="3" t="inlineStr">
        <is>
          <t>Sí</t>
        </is>
      </c>
      <c r="R2" s="3">
        <f>IF(B2="","","https://wa.me/"&amp;Dashboard!$C$6&amp;"?text=Hola%2C%20me%20interesa%20comprar%20"&amp;SUBSTITUTE(TRIM(B2)," ","%20")&amp;"%20(ID%3A%20"&amp;A2&amp;"%20-%20%24"&amp;TEXT(D2,"#,##0")&amp;"%20MXN)")</f>
        <v/>
      </c>
    </row>
    <row r="3">
      <c r="A3" s="3" t="inlineStr">
        <is>
          <t>P002</t>
        </is>
      </c>
      <c r="B3" s="3" t="inlineStr">
        <is>
          <t>Chamarra Mezclilla Dama</t>
        </is>
      </c>
      <c r="C3" s="3" t="inlineStr">
        <is>
          <t>Ropa de Mujer</t>
        </is>
      </c>
      <c r="D3" s="4" t="n">
        <v>450</v>
      </c>
      <c r="E3" s="3" t="n">
        <v>3</v>
      </c>
      <c r="F3" s="3" t="inlineStr">
        <is>
          <t>Mediana</t>
        </is>
      </c>
      <c r="G3" s="3" t="inlineStr">
        <is>
          <t>Azul</t>
        </is>
      </c>
      <c r="H3" s="3" t="inlineStr">
        <is>
          <t>Importada</t>
        </is>
      </c>
      <c r="I3" s="3" t="inlineStr">
        <is>
          <t>Chamarra de mezclilla importada corte clásico</t>
        </is>
      </c>
      <c r="J3" s="3" t="inlineStr">
        <is>
          <t>https://images.unsplash.com/photo-1551537482-f2075a1d41f2?w=800</t>
        </is>
      </c>
      <c r="K3" s="3" t="inlineStr">
        <is>
          <t>https://ejemplo.com/videos/p002.mp4</t>
        </is>
      </c>
      <c r="L3" s="3" t="inlineStr">
        <is>
          <t>Nuevo</t>
        </is>
      </c>
      <c r="M3" s="3" t="inlineStr">
        <is>
          <t>Disponible</t>
        </is>
      </c>
      <c r="N3" s="3">
        <f>IF(A3="","",IF(M3="Oculto","Oculto",IF(M3="Apartado","Apartado",IF(OR(E3&lt;=0,M3="Vendido"),"Agotado","Disponible"))))</f>
        <v/>
      </c>
      <c r="O3" s="3" t="inlineStr">
        <is>
          <t>2026-10-30</t>
        </is>
      </c>
      <c r="P3" s="3" t="inlineStr">
        <is>
          <t>Sí</t>
        </is>
      </c>
      <c r="Q3" s="3" t="inlineStr">
        <is>
          <t>No</t>
        </is>
      </c>
      <c r="R3" s="3">
        <f>IF(B3="","","https://wa.me/"&amp;Dashboard!$C$6&amp;"?text=Hola%2C%20me%20interesa%20comprar%20"&amp;SUBSTITUTE(TRIM(B3)," ","%20")&amp;"%20(ID%3A%20"&amp;A3&amp;"%20-%20%24"&amp;TEXT(D3,"#,##0")&amp;"%20MXN)")</f>
        <v/>
      </c>
    </row>
    <row r="4">
      <c r="A4" s="3" t="inlineStr">
        <is>
          <t>P003</t>
        </is>
      </c>
      <c r="B4" s="3" t="inlineStr">
        <is>
          <t>Set Labiales Matte Larga Duración</t>
        </is>
      </c>
      <c r="C4" s="3" t="inlineStr">
        <is>
          <t>Belleza</t>
        </is>
      </c>
      <c r="D4" s="4" t="n">
        <v>280</v>
      </c>
      <c r="E4" s="3" t="n">
        <v>5</v>
      </c>
      <c r="F4" s="3" t="inlineStr">
        <is>
          <t>Estándar</t>
        </is>
      </c>
      <c r="G4" s="3" t="inlineStr">
        <is>
          <t>Tonos Nude</t>
        </is>
      </c>
      <c r="H4" s="3" t="inlineStr">
        <is>
          <t>MAC Style</t>
        </is>
      </c>
      <c r="I4" s="3" t="inlineStr">
        <is>
          <t>Kit de 4 labiales líquidos indelebles larga duración</t>
        </is>
      </c>
      <c r="J4" s="3" t="inlineStr">
        <is>
          <t>https://images.unsplash.com/photo-1586495777744-4413f21062fa?w=800</t>
        </is>
      </c>
      <c r="K4" s="3" t="inlineStr">
        <is>
          <t>https://ejemplo.com/videos/p003.mp4</t>
        </is>
      </c>
      <c r="L4" s="3" t="inlineStr">
        <is>
          <t>Nuevo</t>
        </is>
      </c>
      <c r="M4" s="3" t="inlineStr">
        <is>
          <t>Disponible</t>
        </is>
      </c>
      <c r="N4" s="3">
        <f>IF(A4="","",IF(M4="Oculto","Oculto",IF(M4="Apartado","Apartado",IF(OR(E4&lt;=0,M4="Vendido"),"Agotado","Disponible"))))</f>
        <v/>
      </c>
      <c r="O4" s="3" t="inlineStr">
        <is>
          <t>2026-10-30</t>
        </is>
      </c>
      <c r="P4" s="3" t="inlineStr">
        <is>
          <t>No</t>
        </is>
      </c>
      <c r="Q4" s="3" t="inlineStr">
        <is>
          <t>Sí</t>
        </is>
      </c>
      <c r="R4" s="3">
        <f>IF(B4="","","https://wa.me/"&amp;Dashboard!$C$6&amp;"?text=Hola%2C%20me%20interesa%20comprar%20"&amp;SUBSTITUTE(TRIM(B4)," ","%20")&amp;"%20(ID%3A%20"&amp;A4&amp;"%20-%20%24"&amp;TEXT(D4,"#,##0")&amp;"%20MXN)")</f>
        <v/>
      </c>
    </row>
    <row r="5">
      <c r="A5" s="3" t="inlineStr">
        <is>
          <t>P004</t>
        </is>
      </c>
      <c r="B5" s="3" t="inlineStr">
        <is>
          <t>Audífonos Inalámbricos Bluetooth Pro</t>
        </is>
      </c>
      <c r="C5" s="3" t="inlineStr">
        <is>
          <t>Electrónica</t>
        </is>
      </c>
      <c r="D5" s="4" t="n">
        <v>520</v>
      </c>
      <c r="E5" s="3" t="n">
        <v>1</v>
      </c>
      <c r="F5" s="3" t="inlineStr">
        <is>
          <t>Única</t>
        </is>
      </c>
      <c r="G5" s="3" t="inlineStr">
        <is>
          <t>Blanco</t>
        </is>
      </c>
      <c r="H5" s="3" t="inlineStr">
        <is>
          <t>TechPro</t>
        </is>
      </c>
      <c r="I5" s="3" t="inlineStr">
        <is>
          <t>Cancelación de ruido activa y estuche de carga rápida</t>
        </is>
      </c>
      <c r="J5" s="3" t="inlineStr">
        <is>
          <t>https://images.unsplash.com/photo-1505740420928-5e560c06d30e?w=800</t>
        </is>
      </c>
      <c r="K5" s="3" t="inlineStr">
        <is>
          <t>https://ejemplo.com/videos/p004.mp4</t>
        </is>
      </c>
      <c r="L5" s="3" t="inlineStr">
        <is>
          <t>Nuevo</t>
        </is>
      </c>
      <c r="M5" s="3" t="inlineStr">
        <is>
          <t>Apartado</t>
        </is>
      </c>
      <c r="N5" s="3">
        <f>IF(A5="","",IF(M5="Oculto","Oculto",IF(M5="Apartado","Apartado",IF(OR(E5&lt;=0,M5="Vendido"),"Agotado","Disponible"))))</f>
        <v/>
      </c>
      <c r="O5" s="3" t="inlineStr">
        <is>
          <t>2026-10-29</t>
        </is>
      </c>
      <c r="P5" s="3" t="inlineStr">
        <is>
          <t>Sí</t>
        </is>
      </c>
      <c r="Q5" s="3" t="inlineStr">
        <is>
          <t>Sí</t>
        </is>
      </c>
      <c r="R5" s="3">
        <f>IF(B5="","","https://wa.me/"&amp;Dashboard!$C$6&amp;"?text=Hola%2C%20me%20interesa%20comprar%20"&amp;SUBSTITUTE(TRIM(B5)," ","%20")&amp;"%20(ID%3A%20"&amp;A5&amp;"%20-%20%24"&amp;TEXT(D5,"#,##0")&amp;"%20MXN)")</f>
        <v/>
      </c>
    </row>
    <row r="6">
      <c r="A6" s="3" t="inlineStr">
        <is>
          <t>P005</t>
        </is>
      </c>
      <c r="B6" s="3" t="inlineStr">
        <is>
          <t>Bolsa Crossbody Piel Sintética</t>
        </is>
      </c>
      <c r="C6" s="3" t="inlineStr">
        <is>
          <t>Bolsas y Mochilas</t>
        </is>
      </c>
      <c r="D6" s="4" t="n">
        <v>390</v>
      </c>
      <c r="E6" s="3" t="n">
        <v>2</v>
      </c>
      <c r="F6" s="3" t="inlineStr">
        <is>
          <t>Chica</t>
        </is>
      </c>
      <c r="G6" s="3" t="inlineStr">
        <is>
          <t>Camel</t>
        </is>
      </c>
      <c r="H6" s="3" t="inlineStr">
        <is>
          <t>Guess Style</t>
        </is>
      </c>
      <c r="I6" s="3" t="inlineStr">
        <is>
          <t>Bolsa cruzada con correa ajustable y herrajes dorados</t>
        </is>
      </c>
      <c r="J6" s="3" t="inlineStr">
        <is>
          <t>https://images.unsplash.com/photo-1548036328-c9fa89d128fa?w=800</t>
        </is>
      </c>
      <c r="K6" s="3" t="inlineStr">
        <is>
          <t>https://ejemplo.com/videos/p005.mp4</t>
        </is>
      </c>
      <c r="L6" s="3" t="inlineStr">
        <is>
          <t>Nuevo</t>
        </is>
      </c>
      <c r="M6" s="3" t="inlineStr">
        <is>
          <t>Disponible</t>
        </is>
      </c>
      <c r="N6" s="3">
        <f>IF(A6="","",IF(M6="Oculto","Oculto",IF(M6="Apartado","Apartado",IF(OR(E6&lt;=0,M6="Vendido"),"Agotado","Disponible"))))</f>
        <v/>
      </c>
      <c r="O6" s="3" t="inlineStr">
        <is>
          <t>2026-10-29</t>
        </is>
      </c>
      <c r="P6" s="3" t="inlineStr">
        <is>
          <t>No</t>
        </is>
      </c>
      <c r="Q6" s="3" t="inlineStr">
        <is>
          <t>No</t>
        </is>
      </c>
      <c r="R6" s="3">
        <f>IF(B6="","","https://wa.me/"&amp;Dashboard!$C$6&amp;"?text=Hola%2C%20me%20interesa%20comprar%20"&amp;SUBSTITUTE(TRIM(B6)," ","%20")&amp;"%20(ID%3A%20"&amp;A6&amp;"%20-%20%24"&amp;TEXT(D6,"#,##0")&amp;"%20MXN)")</f>
        <v/>
      </c>
    </row>
    <row r="7">
      <c r="A7" s="3" t="inlineStr">
        <is>
          <t>P006</t>
        </is>
      </c>
      <c r="B7" s="3" t="inlineStr">
        <is>
          <t>Sudadera Oversize Caballero</t>
        </is>
      </c>
      <c r="C7" s="3" t="inlineStr">
        <is>
          <t>Ropa de Hombre</t>
        </is>
      </c>
      <c r="D7" s="4" t="n">
        <v>480</v>
      </c>
      <c r="E7" s="3" t="n">
        <v>0</v>
      </c>
      <c r="F7" s="3" t="inlineStr">
        <is>
          <t>Grande</t>
        </is>
      </c>
      <c r="G7" s="3" t="inlineStr">
        <is>
          <t>Gris Oxford</t>
        </is>
      </c>
      <c r="H7" s="3" t="inlineStr">
        <is>
          <t>Champion</t>
        </is>
      </c>
      <c r="I7" s="3" t="inlineStr">
        <is>
          <t>Sudadera afelpada original talla G, agotada en primer lote</t>
        </is>
      </c>
      <c r="J7" s="3" t="inlineStr">
        <is>
          <t>https://images.unsplash.com/photo-1556821840-3a63f95609a7?w=800</t>
        </is>
      </c>
      <c r="K7" s="3" t="inlineStr">
        <is>
          <t>https://ejemplo.com/videos/p006.mp4</t>
        </is>
      </c>
      <c r="L7" s="3" t="inlineStr">
        <is>
          <t>Nuevo</t>
        </is>
      </c>
      <c r="M7" s="3" t="inlineStr">
        <is>
          <t>Vendido</t>
        </is>
      </c>
      <c r="N7" s="3">
        <f>IF(A7="","",IF(M7="Oculto","Oculto",IF(M7="Apartado","Apartado",IF(OR(E7&lt;=0,M7="Vendido"),"Agotado","Disponible"))))</f>
        <v/>
      </c>
      <c r="O7" s="3" t="inlineStr">
        <is>
          <t>2026-10-28</t>
        </is>
      </c>
      <c r="P7" s="3" t="inlineStr">
        <is>
          <t>No</t>
        </is>
      </c>
      <c r="Q7" s="3" t="inlineStr">
        <is>
          <t>Sí</t>
        </is>
      </c>
      <c r="R7" s="3">
        <f>IF(B7="","","https://wa.me/"&amp;Dashboard!$C$6&amp;"?text=Hola%2C%20me%20interesa%20comprar%20"&amp;SUBSTITUTE(TRIM(B7)," ","%20")&amp;"%20(ID%3A%20"&amp;A7&amp;"%20-%20%24"&amp;TEXT(D7,"#,##0")&amp;"%20MXN)")</f>
        <v/>
      </c>
    </row>
    <row r="8">
      <c r="A8" s="3" t="inlineStr">
        <is>
          <t>P007</t>
        </is>
      </c>
      <c r="B8" s="3" t="inlineStr">
        <is>
          <t>Caja Gomitas Enchiladas Importadas</t>
        </is>
      </c>
      <c r="C8" s="3" t="inlineStr">
        <is>
          <t>Dulces y Botanas</t>
        </is>
      </c>
      <c r="D8" s="4" t="n">
        <v>185</v>
      </c>
      <c r="E8" s="3" t="n">
        <v>8</v>
      </c>
      <c r="F8" s="3" t="inlineStr">
        <is>
          <t>500 g</t>
        </is>
      </c>
      <c r="G8" s="3" t="inlineStr">
        <is>
          <t>Surtido</t>
        </is>
      </c>
      <c r="H8" s="3" t="inlineStr">
        <is>
          <t>Chamoy Mix</t>
        </is>
      </c>
      <c r="I8" s="3" t="inlineStr">
        <is>
          <t>Paquete sellado de gomitas dulces con chile y chamoy</t>
        </is>
      </c>
      <c r="J8" s="3" t="inlineStr">
        <is>
          <t>https://images.unsplash.com/photo-1582058091505-f87a2e55a40f?w=800</t>
        </is>
      </c>
      <c r="K8" s="3" t="inlineStr">
        <is>
          <t>https://ejemplo.com/videos/p007.mp4</t>
        </is>
      </c>
      <c r="L8" s="3" t="inlineStr">
        <is>
          <t>Nuevo</t>
        </is>
      </c>
      <c r="M8" s="3" t="inlineStr">
        <is>
          <t>Disponible</t>
        </is>
      </c>
      <c r="N8" s="3">
        <f>IF(A8="","",IF(M8="Oculto","Oculto",IF(M8="Apartado","Apartado",IF(OR(E8&lt;=0,M8="Vendido"),"Agotado","Disponible"))))</f>
        <v/>
      </c>
      <c r="O8" s="3" t="inlineStr">
        <is>
          <t>2026-10-30</t>
        </is>
      </c>
      <c r="P8" s="3" t="inlineStr">
        <is>
          <t>No</t>
        </is>
      </c>
      <c r="Q8" s="3" t="inlineStr">
        <is>
          <t>No</t>
        </is>
      </c>
      <c r="R8" s="3">
        <f>IF(B8="","","https://wa.me/"&amp;Dashboard!$C$6&amp;"?text=Hola%2C%20me%20interesa%20comprar%20"&amp;SUBSTITUTE(TRIM(B8)," ","%20")&amp;"%20(ID%3A%20"&amp;A8&amp;"%20-%20%24"&amp;TEXT(D8,"#,##0")&amp;"%20MXN)")</f>
        <v/>
      </c>
    </row>
    <row r="9">
      <c r="A9" s="3" t="inlineStr">
        <is>
          <t>P008</t>
        </is>
      </c>
      <c r="B9" s="3" t="inlineStr">
        <is>
          <t>Reloj Minimalista Acero Inoxidable</t>
        </is>
      </c>
      <c r="C9" s="3" t="inlineStr">
        <is>
          <t>Accesorios</t>
        </is>
      </c>
      <c r="D9" s="4" t="n">
        <v>590</v>
      </c>
      <c r="E9" s="3" t="n">
        <v>2</v>
      </c>
      <c r="F9" s="3" t="inlineStr">
        <is>
          <t>Ajustable</t>
        </is>
      </c>
      <c r="G9" s="3" t="inlineStr">
        <is>
          <t>Dorado / Negro</t>
        </is>
      </c>
      <c r="H9" s="3" t="inlineStr">
        <is>
          <t>Casio</t>
        </is>
      </c>
      <c r="I9" s="3" t="inlineStr">
        <is>
          <t>Resistente al agua, extensible metálico, incluye estuche</t>
        </is>
      </c>
      <c r="J9" s="3" t="inlineStr">
        <is>
          <t>https://images.unsplash.com/photo-1524592094714-0f0654e20314?w=800</t>
        </is>
      </c>
      <c r="K9" s="3" t="inlineStr">
        <is>
          <t>https://ejemplo.com/videos/p008.mp4</t>
        </is>
      </c>
      <c r="L9" s="3" t="inlineStr">
        <is>
          <t>Nuevo</t>
        </is>
      </c>
      <c r="M9" s="3" t="inlineStr">
        <is>
          <t>Disponible</t>
        </is>
      </c>
      <c r="N9" s="3">
        <f>IF(A9="","",IF(M9="Oculto","Oculto",IF(M9="Apartado","Apartado",IF(OR(E9&lt;=0,M9="Vendido"),"Agotado","Disponible"))))</f>
        <v/>
      </c>
      <c r="O9" s="3" t="inlineStr">
        <is>
          <t>2026-10-30</t>
        </is>
      </c>
      <c r="P9" s="3" t="inlineStr">
        <is>
          <t>Sí</t>
        </is>
      </c>
      <c r="Q9" s="3" t="inlineStr">
        <is>
          <t>No</t>
        </is>
      </c>
      <c r="R9" s="3">
        <f>IF(B9="","","https://wa.me/"&amp;Dashboard!$C$6&amp;"?text=Hola%2C%20me%20interesa%20comprar%20"&amp;SUBSTITUTE(TRIM(B9)," ","%20")&amp;"%20(ID%3A%20"&amp;A9&amp;"%20-%20%24"&amp;TEXT(D9,"#,##0")&amp;"%20MXN)")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24" customWidth="1" min="4" max="4"/>
    <col width="16" customWidth="1" min="5" max="5"/>
    <col width="16" customWidth="1" min="6" max="6"/>
    <col width="30" customWidth="1" min="7" max="7"/>
    <col width="26" customWidth="1" min="8" max="8"/>
    <col width="32" customWidth="1" min="9" max="9"/>
    <col width="17" customWidth="1" min="10" max="10"/>
    <col width="16" customWidth="1" min="11" max="11"/>
    <col width="17" customWidth="1" min="12" max="12"/>
    <col width="20" customWidth="1" min="13" max="13"/>
    <col width="14" customWidth="1" min="14" max="14"/>
  </cols>
  <sheetData>
    <row r="1" ht="28" customHeight="1">
      <c r="A1" s="1" t="inlineStr">
        <is>
          <t>ID Cliente</t>
        </is>
      </c>
      <c r="B1" s="1" t="inlineStr">
        <is>
          <t>Nombre(s)</t>
        </is>
      </c>
      <c r="C1" s="1" t="inlineStr">
        <is>
          <t>Apellidos</t>
        </is>
      </c>
      <c r="D1" s="2" t="inlineStr">
        <is>
          <t>Nombre Completo</t>
        </is>
      </c>
      <c r="E1" s="1" t="inlineStr">
        <is>
          <t>Teléfono</t>
        </is>
      </c>
      <c r="F1" s="1" t="inlineStr">
        <is>
          <t>WhatsApp</t>
        </is>
      </c>
      <c r="G1" s="2" t="inlineStr">
        <is>
          <t>Chat Directo WhatsApp</t>
        </is>
      </c>
      <c r="H1" s="1" t="inlineStr">
        <is>
          <t>Correo Electrónico</t>
        </is>
      </c>
      <c r="I1" s="1" t="inlineStr">
        <is>
          <t>Categorías de Interés</t>
        </is>
      </c>
      <c r="J1" s="1" t="inlineStr">
        <is>
          <t>Fecha de Registro</t>
        </is>
      </c>
      <c r="K1" s="1" t="inlineStr">
        <is>
          <t>Último Pedido</t>
        </is>
      </c>
      <c r="L1" s="2" t="inlineStr">
        <is>
          <t>Total de Pedidos</t>
        </is>
      </c>
      <c r="M1" s="2" t="inlineStr">
        <is>
          <t>Total Comprado (MXN)</t>
        </is>
      </c>
      <c r="N1" s="1" t="inlineStr">
        <is>
          <t>Estado</t>
        </is>
      </c>
    </row>
    <row r="2">
      <c r="A2" s="3" t="inlineStr">
        <is>
          <t>C001</t>
        </is>
      </c>
      <c r="B2" s="3" t="inlineStr">
        <is>
          <t>María</t>
        </is>
      </c>
      <c r="C2" s="3" t="inlineStr">
        <is>
          <t>López García</t>
        </is>
      </c>
      <c r="D2" s="3">
        <f>IF(AND(B2="",C2=""),"",TRIM(B2&amp;" "&amp;C2))</f>
        <v/>
      </c>
      <c r="E2" s="3" t="inlineStr">
        <is>
          <t>5512345678</t>
        </is>
      </c>
      <c r="F2" s="3" t="inlineStr">
        <is>
          <t>525512345678</t>
        </is>
      </c>
      <c r="G2" s="3">
        <f>IF(F2="","","https://wa.me/"&amp;SUBSTITUTE(F2," ",""))</f>
        <v/>
      </c>
      <c r="H2" s="3" t="inlineStr">
        <is>
          <t>maria.lopez@gmail.com</t>
        </is>
      </c>
      <c r="I2" s="3" t="inlineStr">
        <is>
          <t>Calzado, Belleza, Ropa de Mujer</t>
        </is>
      </c>
      <c r="J2" s="3" t="inlineStr">
        <is>
          <t>2026-10-15</t>
        </is>
      </c>
      <c r="K2" s="3" t="inlineStr">
        <is>
          <t>2026-10-29</t>
        </is>
      </c>
      <c r="L2" s="3">
        <f>IF(A2="","",COUNTIF(Pedidos!$C$2:$C$500,A2))</f>
        <v/>
      </c>
      <c r="M2" s="4">
        <f>IF(A2="","",SUMIFS(Pedidos!$J$2:$J$500,Pedidos!$C$2:$C$500,A2,Pedidos!$M$2:$M$500,"Aprobado"))</f>
        <v/>
      </c>
      <c r="N2" s="3" t="inlineStr">
        <is>
          <t>VIP</t>
        </is>
      </c>
    </row>
    <row r="3">
      <c r="A3" s="3" t="inlineStr">
        <is>
          <t>C002</t>
        </is>
      </c>
      <c r="B3" s="3" t="inlineStr">
        <is>
          <t>Carlos</t>
        </is>
      </c>
      <c r="C3" s="3" t="inlineStr">
        <is>
          <t>Hernández Ruiz</t>
        </is>
      </c>
      <c r="D3" s="3">
        <f>IF(AND(B3="",C3=""),"",TRIM(B3&amp;" "&amp;C3))</f>
        <v/>
      </c>
      <c r="E3" s="3" t="inlineStr">
        <is>
          <t>5587654321</t>
        </is>
      </c>
      <c r="F3" s="3" t="inlineStr">
        <is>
          <t>525587654321</t>
        </is>
      </c>
      <c r="G3" s="3">
        <f>IF(F3="","","https://wa.me/"&amp;SUBSTITUTE(F3," ",""))</f>
        <v/>
      </c>
      <c r="H3" s="3" t="inlineStr">
        <is>
          <t>carlos.hdz@hotmail.com</t>
        </is>
      </c>
      <c r="I3" s="3" t="inlineStr">
        <is>
          <t>Ropa de Hombre, Electrónica</t>
        </is>
      </c>
      <c r="J3" s="3" t="inlineStr">
        <is>
          <t>2026-10-20</t>
        </is>
      </c>
      <c r="K3" s="3" t="inlineStr">
        <is>
          <t>2026-10-30</t>
        </is>
      </c>
      <c r="L3" s="3">
        <f>IF(A3="","",COUNTIF(Pedidos!$C$2:$C$500,A3))</f>
        <v/>
      </c>
      <c r="M3" s="4">
        <f>IF(A3="","",SUMIFS(Pedidos!$J$2:$J$500,Pedidos!$C$2:$C$500,A3,Pedidos!$M$2:$M$500,"Aprobado"))</f>
        <v/>
      </c>
      <c r="N3" s="3" t="inlineStr">
        <is>
          <t>Activo</t>
        </is>
      </c>
    </row>
    <row r="4">
      <c r="A4" s="3" t="inlineStr">
        <is>
          <t>C003</t>
        </is>
      </c>
      <c r="B4" s="3" t="inlineStr">
        <is>
          <t>Fernanda</t>
        </is>
      </c>
      <c r="C4" s="3" t="inlineStr">
        <is>
          <t>Martínez Soto</t>
        </is>
      </c>
      <c r="D4" s="3">
        <f>IF(AND(B4="",C4=""),"",TRIM(B4&amp;" "&amp;C4))</f>
        <v/>
      </c>
      <c r="E4" s="3" t="inlineStr">
        <is>
          <t>7223456789</t>
        </is>
      </c>
      <c r="F4" s="3" t="inlineStr">
        <is>
          <t>527223456789</t>
        </is>
      </c>
      <c r="G4" s="3">
        <f>IF(F4="","","https://wa.me/"&amp;SUBSTITUTE(F4," ",""))</f>
        <v/>
      </c>
      <c r="H4" s="3" t="inlineStr">
        <is>
          <t>fer.mtz@gmail.com</t>
        </is>
      </c>
      <c r="I4" s="3" t="inlineStr">
        <is>
          <t>Bolsas y Mochilas, Ropa de Mujer</t>
        </is>
      </c>
      <c r="J4" s="3" t="inlineStr">
        <is>
          <t>2026-10-24</t>
        </is>
      </c>
      <c r="K4" s="3" t="inlineStr">
        <is>
          <t>2026-10-30</t>
        </is>
      </c>
      <c r="L4" s="3">
        <f>IF(A4="","",COUNTIF(Pedidos!$C$2:$C$500,A4))</f>
        <v/>
      </c>
      <c r="M4" s="4">
        <f>IF(A4="","",SUMIFS(Pedidos!$J$2:$J$500,Pedidos!$C$2:$C$500,A4,Pedidos!$M$2:$M$500,"Aprobado"))</f>
        <v/>
      </c>
      <c r="N4" s="3" t="inlineStr">
        <is>
          <t>Activo</t>
        </is>
      </c>
    </row>
    <row r="5">
      <c r="A5" s="3" t="inlineStr">
        <is>
          <t>C004</t>
        </is>
      </c>
      <c r="B5" s="3" t="inlineStr">
        <is>
          <t>Alejandro</t>
        </is>
      </c>
      <c r="C5" s="3" t="inlineStr">
        <is>
          <t>Gómez Pérez</t>
        </is>
      </c>
      <c r="D5" s="3">
        <f>IF(AND(B5="",C5=""),"",TRIM(B5&amp;" "&amp;C5))</f>
        <v/>
      </c>
      <c r="E5" s="3" t="inlineStr">
        <is>
          <t>7229876543</t>
        </is>
      </c>
      <c r="F5" s="3" t="inlineStr">
        <is>
          <t>527229876543</t>
        </is>
      </c>
      <c r="G5" s="3">
        <f>IF(F5="","","https://wa.me/"&amp;SUBSTITUTE(F5," ",""))</f>
        <v/>
      </c>
      <c r="H5" s="3" t="inlineStr">
        <is>
          <t>alex.gomez@yahoo.com</t>
        </is>
      </c>
      <c r="I5" s="3" t="inlineStr">
        <is>
          <t>Calzado, Accesorios</t>
        </is>
      </c>
      <c r="J5" s="3" t="inlineStr">
        <is>
          <t>2026-10-28</t>
        </is>
      </c>
      <c r="K5" s="3" t="inlineStr"/>
      <c r="L5" s="3">
        <f>IF(A5="","",COUNTIF(Pedidos!$C$2:$C$500,A5))</f>
        <v/>
      </c>
      <c r="M5" s="4">
        <f>IF(A5="","",SUMIFS(Pedidos!$J$2:$J$500,Pedidos!$C$2:$C$500,A5,Pedidos!$M$2:$M$500,"Aprobado"))</f>
        <v/>
      </c>
      <c r="N5" s="3" t="inlineStr">
        <is>
          <t>Activo</t>
        </is>
      </c>
    </row>
    <row r="6">
      <c r="A6" s="3" t="inlineStr">
        <is>
          <t>C005</t>
        </is>
      </c>
      <c r="B6" s="3" t="inlineStr">
        <is>
          <t>Valeria</t>
        </is>
      </c>
      <c r="C6" s="3" t="inlineStr">
        <is>
          <t>Ramírez Cruz</t>
        </is>
      </c>
      <c r="D6" s="3">
        <f>IF(AND(B6="",C6=""),"",TRIM(B6&amp;" "&amp;C6))</f>
        <v/>
      </c>
      <c r="E6" s="3" t="inlineStr">
        <is>
          <t>5544332211</t>
        </is>
      </c>
      <c r="F6" s="3" t="inlineStr">
        <is>
          <t>525544332211</t>
        </is>
      </c>
      <c r="G6" s="3">
        <f>IF(F6="","","https://wa.me/"&amp;SUBSTITUTE(F6," ",""))</f>
        <v/>
      </c>
      <c r="H6" s="3" t="inlineStr">
        <is>
          <t>vale.ramirez@gmail.com</t>
        </is>
      </c>
      <c r="I6" s="3" t="inlineStr">
        <is>
          <t>Dulces y Botanas, Belleza</t>
        </is>
      </c>
      <c r="J6" s="3" t="inlineStr">
        <is>
          <t>2026-10-30</t>
        </is>
      </c>
      <c r="K6" s="3" t="inlineStr"/>
      <c r="L6" s="3">
        <f>IF(A6="","",COUNTIF(Pedidos!$C$2:$C$500,A6))</f>
        <v/>
      </c>
      <c r="M6" s="4">
        <f>IF(A6="","",SUMIFS(Pedidos!$J$2:$J$500,Pedidos!$C$2:$C$500,A6,Pedidos!$M$2:$M$500,"Aprobado"))</f>
        <v/>
      </c>
      <c r="N6" s="3" t="inlineStr">
        <is>
          <t>Activo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4" customWidth="1" min="4" max="4"/>
    <col width="16" customWidth="1" min="5" max="5"/>
    <col width="13" customWidth="1" min="6" max="6"/>
    <col width="28" customWidth="1" min="7" max="7"/>
    <col width="11" customWidth="1" min="8" max="8"/>
    <col width="20" customWidth="1" min="9" max="9"/>
    <col width="21" customWidth="1" min="10" max="10"/>
    <col width="24" customWidth="1" min="11" max="11"/>
    <col width="30" customWidth="1" min="12" max="12"/>
    <col width="16" customWidth="1" min="13" max="13"/>
    <col width="20" customWidth="1" min="14" max="14"/>
    <col width="34" customWidth="1" min="15" max="15"/>
  </cols>
  <sheetData>
    <row r="1" ht="28" customHeight="1">
      <c r="A1" s="1" t="inlineStr">
        <is>
          <t>ID Pedido</t>
        </is>
      </c>
      <c r="B1" s="1" t="inlineStr">
        <is>
          <t>Fecha</t>
        </is>
      </c>
      <c r="C1" s="1" t="inlineStr">
        <is>
          <t>ID Cliente</t>
        </is>
      </c>
      <c r="D1" s="1" t="inlineStr">
        <is>
          <t>Nombre del Cliente</t>
        </is>
      </c>
      <c r="E1" s="1" t="inlineStr">
        <is>
          <t>Teléfono</t>
        </is>
      </c>
      <c r="F1" s="1" t="inlineStr">
        <is>
          <t>ID Producto</t>
        </is>
      </c>
      <c r="G1" s="1" t="inlineStr">
        <is>
          <t>Nombre del Producto</t>
        </is>
      </c>
      <c r="H1" s="1" t="inlineStr">
        <is>
          <t>Cantidad</t>
        </is>
      </c>
      <c r="I1" s="1" t="inlineStr">
        <is>
          <t>Precio Unitario (MXN)</t>
        </is>
      </c>
      <c r="J1" s="2" t="inlineStr">
        <is>
          <t>Total del Pedido (MXN)</t>
        </is>
      </c>
      <c r="K1" s="1" t="inlineStr">
        <is>
          <t>Método de Pago</t>
        </is>
      </c>
      <c r="L1" s="1" t="inlineStr">
        <is>
          <t>URL Comprobante</t>
        </is>
      </c>
      <c r="M1" s="1" t="inlineStr">
        <is>
          <t>Estado de Pago</t>
        </is>
      </c>
      <c r="N1" s="1" t="inlineStr">
        <is>
          <t>Estado del Pedido</t>
        </is>
      </c>
      <c r="O1" s="1" t="inlineStr">
        <is>
          <t>Notas</t>
        </is>
      </c>
    </row>
    <row r="2">
      <c r="A2" s="3" t="inlineStr">
        <is>
          <t>PED-001</t>
        </is>
      </c>
      <c r="B2" s="3" t="inlineStr">
        <is>
          <t>2026-10-28</t>
        </is>
      </c>
      <c r="C2" s="3" t="inlineStr">
        <is>
          <t>C002</t>
        </is>
      </c>
      <c r="D2" s="3" t="inlineStr">
        <is>
          <t>Carlos Hernández Ruiz</t>
        </is>
      </c>
      <c r="E2" s="3" t="inlineStr">
        <is>
          <t>5587654321</t>
        </is>
      </c>
      <c r="F2" s="3" t="inlineStr">
        <is>
          <t>P006</t>
        </is>
      </c>
      <c r="G2" s="3" t="inlineStr">
        <is>
          <t>Sudadera Oversize Caballero</t>
        </is>
      </c>
      <c r="H2" s="3" t="n">
        <v>1</v>
      </c>
      <c r="I2" s="4" t="n">
        <v>480</v>
      </c>
      <c r="J2" s="4">
        <f>IF(OR(H2="",I2=""),"",H2*I2)</f>
        <v/>
      </c>
      <c r="K2" s="3" t="inlineStr">
        <is>
          <t>Transferencia SPEI</t>
        </is>
      </c>
      <c r="L2" s="3" t="inlineStr">
        <is>
          <t>/uploads/comprobante_ped001.png</t>
        </is>
      </c>
      <c r="M2" s="3" t="inlineStr">
        <is>
          <t>Aprobado</t>
        </is>
      </c>
      <c r="N2" s="3" t="inlineStr">
        <is>
          <t>Entregado</t>
        </is>
      </c>
      <c r="O2" s="3" t="inlineStr">
        <is>
          <t>Pago verificado y entregado en punto acordado</t>
        </is>
      </c>
    </row>
    <row r="3">
      <c r="A3" s="3" t="inlineStr">
        <is>
          <t>PED-002</t>
        </is>
      </c>
      <c r="B3" s="3" t="inlineStr">
        <is>
          <t>2026-10-29</t>
        </is>
      </c>
      <c r="C3" s="3" t="inlineStr">
        <is>
          <t>C001</t>
        </is>
      </c>
      <c r="D3" s="3" t="inlineStr">
        <is>
          <t>María López García</t>
        </is>
      </c>
      <c r="E3" s="3" t="inlineStr">
        <is>
          <t>5512345678</t>
        </is>
      </c>
      <c r="F3" s="3" t="inlineStr">
        <is>
          <t>P003</t>
        </is>
      </c>
      <c r="G3" s="3" t="inlineStr">
        <is>
          <t>Set Labiales Matte Larga Duración</t>
        </is>
      </c>
      <c r="H3" s="3" t="n">
        <v>2</v>
      </c>
      <c r="I3" s="4" t="n">
        <v>280</v>
      </c>
      <c r="J3" s="4">
        <f>IF(OR(H3="",I3=""),"",H3*I3)</f>
        <v/>
      </c>
      <c r="K3" s="3" t="inlineStr">
        <is>
          <t>Depósito OXXO</t>
        </is>
      </c>
      <c r="L3" s="3" t="inlineStr">
        <is>
          <t>/uploads/comprobante_ped002.png</t>
        </is>
      </c>
      <c r="M3" s="3" t="inlineStr">
        <is>
          <t>Aprobado</t>
        </is>
      </c>
      <c r="N3" s="3" t="inlineStr">
        <is>
          <t>Listo para Entrega</t>
        </is>
      </c>
      <c r="O3" s="3" t="inlineStr">
        <is>
          <t>Ticket OXXO confirmado, pasa a recoger</t>
        </is>
      </c>
    </row>
    <row r="4">
      <c r="A4" s="3" t="inlineStr">
        <is>
          <t>PED-003</t>
        </is>
      </c>
      <c r="B4" s="3" t="inlineStr">
        <is>
          <t>2026-10-30</t>
        </is>
      </c>
      <c r="C4" s="3" t="inlineStr">
        <is>
          <t>C002</t>
        </is>
      </c>
      <c r="D4" s="3" t="inlineStr">
        <is>
          <t>Carlos Hernández Ruiz</t>
        </is>
      </c>
      <c r="E4" s="3" t="inlineStr">
        <is>
          <t>5587654321</t>
        </is>
      </c>
      <c r="F4" s="3" t="inlineStr">
        <is>
          <t>P004</t>
        </is>
      </c>
      <c r="G4" s="3" t="inlineStr">
        <is>
          <t>Audífonos Inalámbricos Bluetooth Pro</t>
        </is>
      </c>
      <c r="H4" s="3" t="n">
        <v>1</v>
      </c>
      <c r="I4" s="4" t="n">
        <v>520</v>
      </c>
      <c r="J4" s="4">
        <f>IF(OR(H4="",I4=""),"",H4*I4)</f>
        <v/>
      </c>
      <c r="K4" s="3" t="inlineStr">
        <is>
          <t>Transferencia SPEI</t>
        </is>
      </c>
      <c r="L4" s="3" t="inlineStr">
        <is>
          <t>/uploads/comprobante_ped003.png</t>
        </is>
      </c>
      <c r="M4" s="3" t="inlineStr">
        <is>
          <t>Pendiente</t>
        </is>
      </c>
      <c r="N4" s="3" t="inlineStr">
        <is>
          <t>Apartado</t>
        </is>
      </c>
      <c r="O4" s="3" t="inlineStr">
        <is>
          <t>Esperando validación de captura SPEI</t>
        </is>
      </c>
    </row>
    <row r="5">
      <c r="A5" s="3" t="inlineStr">
        <is>
          <t>PED-004</t>
        </is>
      </c>
      <c r="B5" s="3" t="inlineStr">
        <is>
          <t>2026-10-30</t>
        </is>
      </c>
      <c r="C5" s="3" t="inlineStr">
        <is>
          <t>C003</t>
        </is>
      </c>
      <c r="D5" s="3" t="inlineStr">
        <is>
          <t>Fernanda Martínez Soto</t>
        </is>
      </c>
      <c r="E5" s="3" t="inlineStr">
        <is>
          <t>7223456789</t>
        </is>
      </c>
      <c r="F5" s="3" t="inlineStr">
        <is>
          <t>P002</t>
        </is>
      </c>
      <c r="G5" s="3" t="inlineStr">
        <is>
          <t>Chamarra Mezclilla Dama</t>
        </is>
      </c>
      <c r="H5" s="3" t="n">
        <v>1</v>
      </c>
      <c r="I5" s="4" t="n">
        <v>450</v>
      </c>
      <c r="J5" s="4">
        <f>IF(OR(H5="",I5=""),"",H5*I5)</f>
        <v/>
      </c>
      <c r="K5" s="3" t="inlineStr">
        <is>
          <t>Transferencia SPEI</t>
        </is>
      </c>
      <c r="L5" s="3" t="inlineStr">
        <is>
          <t>/uploads/comprobante_ped004.png</t>
        </is>
      </c>
      <c r="M5" s="3" t="inlineStr">
        <is>
          <t>Aprobado</t>
        </is>
      </c>
      <c r="N5" s="3" t="inlineStr">
        <is>
          <t>Pagado</t>
        </is>
      </c>
      <c r="O5" s="3" t="inlineStr">
        <is>
          <t>Transferencia confirmada, preparar paquete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44" customWidth="1" min="3" max="3"/>
    <col width="12" customWidth="1" min="4" max="4"/>
    <col width="22" customWidth="1" min="5" max="5"/>
    <col width="22" customWidth="1" min="6" max="6"/>
  </cols>
  <sheetData>
    <row r="1" ht="28" customHeight="1">
      <c r="A1" s="1" t="inlineStr">
        <is>
          <t>ID Categoría</t>
        </is>
      </c>
      <c r="B1" s="1" t="inlineStr">
        <is>
          <t>Nombre de Categoría</t>
        </is>
      </c>
      <c r="C1" s="1" t="inlineStr">
        <is>
          <t>URL Imagen</t>
        </is>
      </c>
      <c r="D1" s="1" t="inlineStr">
        <is>
          <t>Activa</t>
        </is>
      </c>
      <c r="E1" s="2" t="inlineStr">
        <is>
          <t>Productos Registrados</t>
        </is>
      </c>
      <c r="F1" s="2" t="inlineStr">
        <is>
          <t>Unidades Disponibles</t>
        </is>
      </c>
    </row>
    <row r="2">
      <c r="A2" s="3" t="inlineStr">
        <is>
          <t>CAT001</t>
        </is>
      </c>
      <c r="B2" s="3" t="inlineStr">
        <is>
          <t>Ropa de Mujer</t>
        </is>
      </c>
      <c r="C2" s="3" t="inlineStr">
        <is>
          <t>https://images.unsplash.com/photo-1483985988355-763728e1935b?w=800</t>
        </is>
      </c>
      <c r="D2" s="3" t="inlineStr">
        <is>
          <t>Sí</t>
        </is>
      </c>
      <c r="E2" s="3">
        <f>IF(B2="","",COUNTIF(Productos!$C$2:$C$500,B2))</f>
        <v/>
      </c>
      <c r="F2" s="3">
        <f>IF(B2="","",SUMIFS(Productos!$E$2:$E$500,Productos!$C$2:$C$500,B2,Productos!$N$2:$N$500,"Disponible"))</f>
        <v/>
      </c>
    </row>
    <row r="3">
      <c r="A3" s="3" t="inlineStr">
        <is>
          <t>CAT002</t>
        </is>
      </c>
      <c r="B3" s="3" t="inlineStr">
        <is>
          <t>Ropa de Hombre</t>
        </is>
      </c>
      <c r="C3" s="3" t="inlineStr">
        <is>
          <t>https://images.unsplash.com/photo-1490578474895-699cd4e2cf59?w=800</t>
        </is>
      </c>
      <c r="D3" s="3" t="inlineStr">
        <is>
          <t>Sí</t>
        </is>
      </c>
      <c r="E3" s="3">
        <f>IF(B3="","",COUNTIF(Productos!$C$2:$C$500,B3))</f>
        <v/>
      </c>
      <c r="F3" s="3">
        <f>IF(B3="","",SUMIFS(Productos!$E$2:$E$500,Productos!$C$2:$C$500,B3,Productos!$N$2:$N$500,"Disponible"))</f>
        <v/>
      </c>
    </row>
    <row r="4">
      <c r="A4" s="3" t="inlineStr">
        <is>
          <t>CAT003</t>
        </is>
      </c>
      <c r="B4" s="3" t="inlineStr">
        <is>
          <t>Calzado</t>
        </is>
      </c>
      <c r="C4" s="3" t="inlineStr">
        <is>
          <t>https://images.unsplash.com/photo-1542291026-7eec264c27ff?w=800</t>
        </is>
      </c>
      <c r="D4" s="3" t="inlineStr">
        <is>
          <t>Sí</t>
        </is>
      </c>
      <c r="E4" s="3">
        <f>IF(B4="","",COUNTIF(Productos!$C$2:$C$500,B4))</f>
        <v/>
      </c>
      <c r="F4" s="3">
        <f>IF(B4="","",SUMIFS(Productos!$E$2:$E$500,Productos!$C$2:$C$500,B4,Productos!$N$2:$N$500,"Disponible"))</f>
        <v/>
      </c>
    </row>
    <row r="5">
      <c r="A5" s="3" t="inlineStr">
        <is>
          <t>CAT004</t>
        </is>
      </c>
      <c r="B5" s="3" t="inlineStr">
        <is>
          <t>Belleza</t>
        </is>
      </c>
      <c r="C5" s="3" t="inlineStr">
        <is>
          <t>https://images.unsplash.com/photo-1596462502278-27bfdc403348?w=800</t>
        </is>
      </c>
      <c r="D5" s="3" t="inlineStr">
        <is>
          <t>Sí</t>
        </is>
      </c>
      <c r="E5" s="3">
        <f>IF(B5="","",COUNTIF(Productos!$C$2:$C$500,B5))</f>
        <v/>
      </c>
      <c r="F5" s="3">
        <f>IF(B5="","",SUMIFS(Productos!$E$2:$E$500,Productos!$C$2:$C$500,B5,Productos!$N$2:$N$500,"Disponible"))</f>
        <v/>
      </c>
    </row>
    <row r="6">
      <c r="A6" s="3" t="inlineStr">
        <is>
          <t>CAT005</t>
        </is>
      </c>
      <c r="B6" s="3" t="inlineStr">
        <is>
          <t>Electrónica</t>
        </is>
      </c>
      <c r="C6" s="3" t="inlineStr">
        <is>
          <t>https://images.unsplash.com/photo-1498049794561-7780e7231661?w=800</t>
        </is>
      </c>
      <c r="D6" s="3" t="inlineStr">
        <is>
          <t>Sí</t>
        </is>
      </c>
      <c r="E6" s="3">
        <f>IF(B6="","",COUNTIF(Productos!$C$2:$C$500,B6))</f>
        <v/>
      </c>
      <c r="F6" s="3">
        <f>IF(B6="","",SUMIFS(Productos!$E$2:$E$500,Productos!$C$2:$C$500,B6,Productos!$N$2:$N$500,"Disponible"))</f>
        <v/>
      </c>
    </row>
    <row r="7">
      <c r="A7" s="3" t="inlineStr">
        <is>
          <t>CAT006</t>
        </is>
      </c>
      <c r="B7" s="3" t="inlineStr">
        <is>
          <t>Dulces y Botanas</t>
        </is>
      </c>
      <c r="C7" s="3" t="inlineStr">
        <is>
          <t>https://images.unsplash.com/photo-1582058091505-f87a2e55a40f?w=800</t>
        </is>
      </c>
      <c r="D7" s="3" t="inlineStr">
        <is>
          <t>Sí</t>
        </is>
      </c>
      <c r="E7" s="3">
        <f>IF(B7="","",COUNTIF(Productos!$C$2:$C$500,B7))</f>
        <v/>
      </c>
      <c r="F7" s="3">
        <f>IF(B7="","",SUMIFS(Productos!$E$2:$E$500,Productos!$C$2:$C$500,B7,Productos!$N$2:$N$500,"Disponible"))</f>
        <v/>
      </c>
    </row>
    <row r="8">
      <c r="A8" s="3" t="inlineStr">
        <is>
          <t>CAT007</t>
        </is>
      </c>
      <c r="B8" s="3" t="inlineStr">
        <is>
          <t>Accesorios</t>
        </is>
      </c>
      <c r="C8" s="3" t="inlineStr">
        <is>
          <t>https://images.unsplash.com/photo-1523293182086-7651a899d37f?w=800</t>
        </is>
      </c>
      <c r="D8" s="3" t="inlineStr">
        <is>
          <t>Sí</t>
        </is>
      </c>
      <c r="E8" s="3">
        <f>IF(B8="","",COUNTIF(Productos!$C$2:$C$500,B8))</f>
        <v/>
      </c>
      <c r="F8" s="3">
        <f>IF(B8="","",SUMIFS(Productos!$E$2:$E$500,Productos!$C$2:$C$500,B8,Productos!$N$2:$N$500,"Disponible"))</f>
        <v/>
      </c>
    </row>
    <row r="9">
      <c r="A9" s="3" t="inlineStr">
        <is>
          <t>CAT008</t>
        </is>
      </c>
      <c r="B9" s="3" t="inlineStr">
        <is>
          <t>Hogar</t>
        </is>
      </c>
      <c r="C9" s="3" t="inlineStr">
        <is>
          <t>https://images.unsplash.com/photo-1513694203232-719a280e022f?w=800</t>
        </is>
      </c>
      <c r="D9" s="3" t="inlineStr">
        <is>
          <t>Sí</t>
        </is>
      </c>
      <c r="E9" s="3">
        <f>IF(B9="","",COUNTIF(Productos!$C$2:$C$500,B9))</f>
        <v/>
      </c>
      <c r="F9" s="3">
        <f>IF(B9="","",SUMIFS(Productos!$E$2:$E$500,Productos!$C$2:$C$500,B9,Productos!$N$2:$N$500,"Disponible"))</f>
        <v/>
      </c>
    </row>
    <row r="10">
      <c r="A10" s="3" t="inlineStr">
        <is>
          <t>CAT009</t>
        </is>
      </c>
      <c r="B10" s="3" t="inlineStr">
        <is>
          <t>Bolsas y Mochilas</t>
        </is>
      </c>
      <c r="C10" s="3" t="inlineStr">
        <is>
          <t>https://images.unsplash.com/photo-1548036328-c9fa89d128fa?w=800</t>
        </is>
      </c>
      <c r="D10" s="3" t="inlineStr">
        <is>
          <t>Sí</t>
        </is>
      </c>
      <c r="E10" s="3">
        <f>IF(B10="","",COUNTIF(Productos!$C$2:$C$500,B10))</f>
        <v/>
      </c>
      <c r="F10" s="3">
        <f>IF(B10="","",SUMIFS(Productos!$E$2:$E$500,Productos!$C$2:$C$500,B10,Productos!$N$2:$N$500,"Disponible"))</f>
        <v/>
      </c>
    </row>
    <row r="11">
      <c r="A11" s="3" t="inlineStr">
        <is>
          <t>CAT010</t>
        </is>
      </c>
      <c r="B11" s="3" t="inlineStr">
        <is>
          <t>Joyería y Bisutería</t>
        </is>
      </c>
      <c r="C11" s="3" t="inlineStr">
        <is>
          <t>https://images.unsplash.com/photo-1515562141207-7a88fb7ce338?w=800</t>
        </is>
      </c>
      <c r="D11" s="3" t="inlineStr">
        <is>
          <t>Sí</t>
        </is>
      </c>
      <c r="E11" s="3">
        <f>IF(B11="","",COUNTIF(Productos!$C$2:$C$500,B11))</f>
        <v/>
      </c>
      <c r="F11" s="3">
        <f>IF(B11="","",SUMIFS(Productos!$E$2:$E$500,Productos!$C$2:$C$500,B11,Productos!$N$2:$N$500,"Disponible"))</f>
        <v/>
      </c>
    </row>
    <row r="12">
      <c r="A12" s="3" t="inlineStr">
        <is>
          <t>CAT011</t>
        </is>
      </c>
      <c r="B12" s="3" t="inlineStr">
        <is>
          <t>Juguetes</t>
        </is>
      </c>
      <c r="C12" s="3" t="inlineStr">
        <is>
          <t>https://images.unsplash.com/photo-1558060370-d644479cb6f7?w=800</t>
        </is>
      </c>
      <c r="D12" s="3" t="inlineStr">
        <is>
          <t>Sí</t>
        </is>
      </c>
      <c r="E12" s="3">
        <f>IF(B12="","",COUNTIF(Productos!$C$2:$C$500,B12))</f>
        <v/>
      </c>
      <c r="F12" s="3">
        <f>IF(B12="","",SUMIFS(Productos!$E$2:$E$500,Productos!$C$2:$C$500,B12,Productos!$N$2:$N$500,"Disponible"))</f>
        <v/>
      </c>
    </row>
    <row r="13">
      <c r="A13" s="3" t="inlineStr">
        <is>
          <t>CAT012</t>
        </is>
      </c>
      <c r="B13" s="3" t="inlineStr">
        <is>
          <t>Otros</t>
        </is>
      </c>
      <c r="C13" s="3" t="inlineStr">
        <is>
          <t>https://images.unsplash.com/photo-1472851294608-062f824d29cc?w=800</t>
        </is>
      </c>
      <c r="D13" s="3" t="inlineStr">
        <is>
          <t>Sí</t>
        </is>
      </c>
      <c r="E13" s="3">
        <f>IF(B13="","",COUNTIF(Productos!$C$2:$C$500,B13))</f>
        <v/>
      </c>
      <c r="F13" s="3">
        <f>IF(B13="","",SUMIFS(Productos!$E$2:$E$500,Productos!$C$2:$C$500,B13,Productos!$N$2:$N$500,"Disponible"))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30" customWidth="1" min="4" max="4"/>
    <col width="24" customWidth="1" min="5" max="5"/>
    <col width="19" customWidth="1" min="6" max="6"/>
    <col width="18" customWidth="1" min="7" max="7"/>
    <col width="16" customWidth="1" min="8" max="8"/>
    <col width="36" customWidth="1" min="9" max="9"/>
  </cols>
  <sheetData>
    <row r="1" ht="28" customHeight="1">
      <c r="A1" s="1" t="inlineStr">
        <is>
          <t>ID Movimiento</t>
        </is>
      </c>
      <c r="B1" s="1" t="inlineStr">
        <is>
          <t>Fecha</t>
        </is>
      </c>
      <c r="C1" s="1" t="inlineStr">
        <is>
          <t>ID Producto</t>
        </is>
      </c>
      <c r="D1" s="2" t="inlineStr">
        <is>
          <t>Nombre del Producto</t>
        </is>
      </c>
      <c r="E1" s="1" t="inlineStr">
        <is>
          <t>Tipo de Movimiento</t>
        </is>
      </c>
      <c r="F1" s="1" t="inlineStr">
        <is>
          <t>Cambio de Cantidad</t>
        </is>
      </c>
      <c r="G1" s="1" t="inlineStr">
        <is>
          <t>Cantidad Anterior</t>
        </is>
      </c>
      <c r="H1" s="2" t="inlineStr">
        <is>
          <t>Nueva Cantidad</t>
        </is>
      </c>
      <c r="I1" s="1" t="inlineStr">
        <is>
          <t>Motivo / Referencia</t>
        </is>
      </c>
    </row>
    <row r="2">
      <c r="A2" s="3" t="inlineStr">
        <is>
          <t>M001</t>
        </is>
      </c>
      <c r="B2" s="3" t="inlineStr">
        <is>
          <t>2026-10-28</t>
        </is>
      </c>
      <c r="C2" s="3" t="inlineStr">
        <is>
          <t>P006</t>
        </is>
      </c>
      <c r="D2" s="3">
        <f>IF(C2="","",IFERROR(VLOOKUP(C2,Productos!$A$2:$B$500,2,FALSE),"Sudadera Oversize Caballero"))</f>
        <v/>
      </c>
      <c r="E2" s="3" t="inlineStr">
        <is>
          <t>Entrada de Mercancía</t>
        </is>
      </c>
      <c r="F2" s="3" t="n">
        <v>1</v>
      </c>
      <c r="G2" s="3" t="n">
        <v>0</v>
      </c>
      <c r="H2" s="3">
        <f>IF(AND(F2="",G2=""),"",G2+F2)</f>
        <v/>
      </c>
      <c r="I2" s="3" t="inlineStr">
        <is>
          <t>Ingreso inicial de lote</t>
        </is>
      </c>
    </row>
    <row r="3">
      <c r="A3" s="3" t="inlineStr">
        <is>
          <t>M002</t>
        </is>
      </c>
      <c r="B3" s="3" t="inlineStr">
        <is>
          <t>2026-10-28</t>
        </is>
      </c>
      <c r="C3" s="3" t="inlineStr">
        <is>
          <t>P006</t>
        </is>
      </c>
      <c r="D3" s="3">
        <f>IF(C3="","",IFERROR(VLOOKUP(C3,Productos!$A$2:$B$500,2,FALSE),"Sudadera Oversize Caballero"))</f>
        <v/>
      </c>
      <c r="E3" s="3" t="inlineStr">
        <is>
          <t>Venta</t>
        </is>
      </c>
      <c r="F3" s="3" t="n">
        <v>-1</v>
      </c>
      <c r="G3" s="3" t="n">
        <v>1</v>
      </c>
      <c r="H3" s="3">
        <f>IF(AND(F3="",G3=""),"",G3+F3)</f>
        <v/>
      </c>
      <c r="I3" s="3" t="inlineStr">
        <is>
          <t>Venta confirmada (PED-001)</t>
        </is>
      </c>
    </row>
    <row r="4">
      <c r="A4" s="3" t="inlineStr">
        <is>
          <t>M003</t>
        </is>
      </c>
      <c r="B4" s="3" t="inlineStr">
        <is>
          <t>2026-10-29</t>
        </is>
      </c>
      <c r="C4" s="3" t="inlineStr">
        <is>
          <t>P002</t>
        </is>
      </c>
      <c r="D4" s="3">
        <f>IF(C4="","",IFERROR(VLOOKUP(C4,Productos!$A$2:$B$500,2,FALSE),"Chamarra Mezclilla Dama"))</f>
        <v/>
      </c>
      <c r="E4" s="3" t="inlineStr">
        <is>
          <t>Entrada de Mercancía</t>
        </is>
      </c>
      <c r="F4" s="3" t="n">
        <v>4</v>
      </c>
      <c r="G4" s="3" t="n">
        <v>0</v>
      </c>
      <c r="H4" s="3">
        <f>IF(AND(F4="",G4=""),"",G4+F4)</f>
        <v/>
      </c>
      <c r="I4" s="3" t="inlineStr">
        <is>
          <t>Nuevo lote chamarras importadas</t>
        </is>
      </c>
    </row>
    <row r="5">
      <c r="A5" s="3" t="inlineStr">
        <is>
          <t>M004</t>
        </is>
      </c>
      <c r="B5" s="3" t="inlineStr">
        <is>
          <t>2026-10-30</t>
        </is>
      </c>
      <c r="C5" s="3" t="inlineStr">
        <is>
          <t>P002</t>
        </is>
      </c>
      <c r="D5" s="3">
        <f>IF(C5="","",IFERROR(VLOOKUP(C5,Productos!$A$2:$B$500,2,FALSE),"Chamarra Mezclilla Dama"))</f>
        <v/>
      </c>
      <c r="E5" s="3" t="inlineStr">
        <is>
          <t>Venta</t>
        </is>
      </c>
      <c r="F5" s="3" t="n">
        <v>-1</v>
      </c>
      <c r="G5" s="3" t="n">
        <v>4</v>
      </c>
      <c r="H5" s="3">
        <f>IF(AND(F5="",G5=""),"",G5+F5)</f>
        <v/>
      </c>
      <c r="I5" s="3" t="inlineStr">
        <is>
          <t>Venta confirmada (PED-004)</t>
        </is>
      </c>
    </row>
    <row r="6">
      <c r="A6" s="3" t="inlineStr">
        <is>
          <t>M005</t>
        </is>
      </c>
      <c r="B6" s="3" t="inlineStr">
        <is>
          <t>2026-10-29</t>
        </is>
      </c>
      <c r="C6" s="3" t="inlineStr">
        <is>
          <t>P003</t>
        </is>
      </c>
      <c r="D6" s="3">
        <f>IF(C6="","",IFERROR(VLOOKUP(C6,Productos!$A$2:$B$500,2,FALSE),"Set Labiales Matte Larga Duración"))</f>
        <v/>
      </c>
      <c r="E6" s="3" t="inlineStr">
        <is>
          <t>Venta</t>
        </is>
      </c>
      <c r="F6" s="3" t="n">
        <v>-2</v>
      </c>
      <c r="G6" s="3" t="n">
        <v>7</v>
      </c>
      <c r="H6" s="3">
        <f>IF(AND(F6="",G6=""),"",G6+F6)</f>
        <v/>
      </c>
      <c r="I6" s="3" t="inlineStr">
        <is>
          <t>Venta confirmada (PED-002)</t>
        </is>
      </c>
    </row>
    <row r="7">
      <c r="A7" s="3" t="inlineStr">
        <is>
          <t>M006</t>
        </is>
      </c>
      <c r="B7" s="3" t="inlineStr">
        <is>
          <t>2026-10-30</t>
        </is>
      </c>
      <c r="C7" s="3" t="inlineStr">
        <is>
          <t>P004</t>
        </is>
      </c>
      <c r="D7" s="3">
        <f>IF(C7="","",IFERROR(VLOOKUP(C7,Productos!$A$2:$B$500,2,FALSE),"Audífonos Inalámbricos Bluetooth Pro"))</f>
        <v/>
      </c>
      <c r="E7" s="3" t="inlineStr">
        <is>
          <t>Apartado</t>
        </is>
      </c>
      <c r="F7" s="3" t="n">
        <v>0</v>
      </c>
      <c r="G7" s="3" t="n">
        <v>1</v>
      </c>
      <c r="H7" s="3">
        <f>IF(AND(F7="",G7=""),"",G7+F7)</f>
        <v/>
      </c>
      <c r="I7" s="3" t="inlineStr">
        <is>
          <t>Apartado pendiente de verificación (PED-003)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0B981"/>
    <outlinePr summaryBelow="1" summaryRight="1"/>
    <pageSetUpPr/>
  </sheetPr>
  <dimension ref="B2:C22"/>
  <sheetViews>
    <sheetView workbookViewId="0">
      <selection activeCell="A1" sqref="A1"/>
    </sheetView>
  </sheetViews>
  <sheetFormatPr baseColWidth="8" defaultRowHeight="15"/>
  <cols>
    <col width="38" customWidth="1" min="2" max="2"/>
    <col width="24" customWidth="1" min="3" max="3"/>
  </cols>
  <sheetData>
    <row r="2">
      <c r="B2" s="5" t="inlineStr">
        <is>
          <t>PANEL DE CONTROL — TIENDA WHATSAPP</t>
        </is>
      </c>
    </row>
    <row r="5">
      <c r="B5" t="inlineStr">
        <is>
          <t>Nombre de la Tienda</t>
        </is>
      </c>
      <c r="C5" t="inlineStr">
        <is>
          <t>Mi Tienda WhatsApp</t>
        </is>
      </c>
    </row>
    <row r="6">
      <c r="B6" t="inlineStr">
        <is>
          <t>Número de WhatsApp (con clave país 52)</t>
        </is>
      </c>
      <c r="C6" s="6" t="inlineStr">
        <is>
          <t>525512345678</t>
        </is>
      </c>
    </row>
    <row r="7">
      <c r="B7" t="inlineStr">
        <is>
          <t>Enlace Público de tu App</t>
        </is>
      </c>
      <c r="C7" t="inlineStr">
        <is>
          <t>https://mitienda.glide.page</t>
        </is>
      </c>
    </row>
    <row r="11">
      <c r="B11" s="3" t="inlineStr">
        <is>
          <t>Total de Productos Registrados</t>
        </is>
      </c>
      <c r="C11" s="7">
        <f>COUNTA(Productos!A2:A500)</f>
        <v/>
      </c>
    </row>
    <row r="12">
      <c r="B12" s="3" t="inlineStr">
        <is>
          <t>Productos Disponibles</t>
        </is>
      </c>
      <c r="C12" s="7">
        <f>COUNTIF(Productos!N2:N500,"Disponible")</f>
        <v/>
      </c>
    </row>
    <row r="13">
      <c r="B13" s="3" t="inlineStr">
        <is>
          <t>Productos Apartados</t>
        </is>
      </c>
      <c r="C13" s="7">
        <f>COUNTIF(Productos!N2:N500,"Apartado")</f>
        <v/>
      </c>
    </row>
    <row r="14">
      <c r="B14" s="3" t="inlineStr">
        <is>
          <t>Productos Vendidos / Agotados</t>
        </is>
      </c>
      <c r="C14" s="7">
        <f>COUNTIF(Productos!N2:N500,"Agotado")</f>
        <v/>
      </c>
    </row>
    <row r="15">
      <c r="B15" s="3" t="inlineStr">
        <is>
          <t>Unidades Totales Disponibles</t>
        </is>
      </c>
      <c r="C15" s="7">
        <f>SUMIF(Productos!N2:N500,"Disponible",Productos!E2:E500)</f>
        <v/>
      </c>
    </row>
    <row r="16">
      <c r="B16" s="3" t="inlineStr">
        <is>
          <t>Valor del Inventario Disponible (MXN)</t>
        </is>
      </c>
      <c r="C16" s="8">
        <f>SUMPRODUCT(--(Productos!N2:N500="Disponible"),Productos!D2:D500,Productos!E2:E500)</f>
        <v/>
      </c>
    </row>
    <row r="17">
      <c r="B17" s="3" t="inlineStr">
        <is>
          <t>Pendientes de Publicar en Estado WhatsApp</t>
        </is>
      </c>
      <c r="C17" s="7">
        <f>COUNTIFS(Productos!Q2:Q500,"No",Productos!N2:N500,"Disponible")</f>
        <v/>
      </c>
    </row>
    <row r="18">
      <c r="B18" s="3" t="inlineStr">
        <is>
          <t>Pagos Pendientes de Revisión</t>
        </is>
      </c>
      <c r="C18" s="7">
        <f>COUNTIF(Pedidos!M2:M500,"Pendiente")</f>
        <v/>
      </c>
    </row>
    <row r="19">
      <c r="B19" s="3" t="inlineStr">
        <is>
          <t>Monto en Pagos Pendientes (MXN)</t>
        </is>
      </c>
      <c r="C19" s="8">
        <f>SUMIFS(Pedidos!J2:J500,Pedidos!M2:M500,"Pendiente")</f>
        <v/>
      </c>
    </row>
    <row r="20">
      <c r="B20" s="3" t="inlineStr">
        <is>
          <t>Ventas Cobradas / Aprobadas (MXN)</t>
        </is>
      </c>
      <c r="C20" s="8">
        <f>SUMIFS(Pedidos!J2:J500,Pedidos!M2:M500,"Aprobado")</f>
        <v/>
      </c>
    </row>
    <row r="21">
      <c r="B21" s="3" t="inlineStr">
        <is>
          <t>Total de Pedidos Registrados</t>
        </is>
      </c>
      <c r="C21" s="7">
        <f>COUNTA(Pedidos!A2:A500)</f>
        <v/>
      </c>
    </row>
    <row r="22">
      <c r="B22" s="3" t="inlineStr">
        <is>
          <t>Total de Clientes en Base de Datos</t>
        </is>
      </c>
      <c r="C22" s="7">
        <f>COUNTA(Clientes!A2:A500)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C2626"/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8" customWidth="1" min="3" max="3"/>
    <col width="15" customWidth="1" min="4" max="4"/>
    <col width="18" customWidth="1" min="5" max="5"/>
    <col width="12" customWidth="1" min="6" max="6"/>
    <col width="52" customWidth="1" min="7" max="7"/>
  </cols>
  <sheetData>
    <row r="1" ht="28" customHeight="1">
      <c r="A1" s="1" t="inlineStr">
        <is>
          <t>ID Usuario</t>
        </is>
      </c>
      <c r="B1" s="1" t="inlineStr">
        <is>
          <t>Nombre</t>
        </is>
      </c>
      <c r="C1" s="1" t="inlineStr">
        <is>
          <t>Correo Electrónico</t>
        </is>
      </c>
      <c r="D1" s="1" t="inlineStr">
        <is>
          <t>Rol</t>
        </is>
      </c>
      <c r="E1" s="1" t="inlineStr">
        <is>
          <t>WhatsApp</t>
        </is>
      </c>
      <c r="F1" s="1" t="inlineStr">
        <is>
          <t>Activo</t>
        </is>
      </c>
      <c r="G1" s="1" t="inlineStr">
        <is>
          <t>Permisos en Glide</t>
        </is>
      </c>
    </row>
    <row r="2">
      <c r="A2" s="3" t="inlineStr">
        <is>
          <t>U001</t>
        </is>
      </c>
      <c r="B2" s="3" t="inlineStr">
        <is>
          <t>Administrador Principal</t>
        </is>
      </c>
      <c r="C2" s="3" t="inlineStr">
        <is>
          <t>admin@mitienda.com</t>
        </is>
      </c>
      <c r="D2" s="3" t="inlineStr">
        <is>
          <t>Admin</t>
        </is>
      </c>
      <c r="E2" s="3" t="inlineStr">
        <is>
          <t>525512345678</t>
        </is>
      </c>
      <c r="F2" s="3" t="inlineStr">
        <is>
          <t>Sí</t>
        </is>
      </c>
      <c r="G2" s="3" t="inlineStr">
        <is>
          <t>Acceso total: Agregar, editar, ocultar productos y aprobar comprobantes de pago</t>
        </is>
      </c>
    </row>
    <row r="3">
      <c r="A3" s="3" t="inlineStr">
        <is>
          <t>U002</t>
        </is>
      </c>
      <c r="B3" s="3" t="inlineStr">
        <is>
          <t>Ventas / Atención WhatsApp</t>
        </is>
      </c>
      <c r="C3" s="3" t="inlineStr">
        <is>
          <t>ventas@mitienda.com</t>
        </is>
      </c>
      <c r="D3" s="3" t="inlineStr">
        <is>
          <t>Vendedor</t>
        </is>
      </c>
      <c r="E3" s="3" t="inlineStr">
        <is>
          <t>525587654321</t>
        </is>
      </c>
      <c r="F3" s="3" t="inlineStr">
        <is>
          <t>Sí</t>
        </is>
      </c>
      <c r="G3" s="3" t="inlineStr">
        <is>
          <t>Acceso operativo: Registrar pedidos, apartar productos y cargar inventario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2026-10-30T09:27:22Z</dcterms:created>
  <dcterms:modified xmlns:dcterms="http://purl.org/dc/terms/" xmlns:xsi="http://www.w3.org/2001/XMLSchema-instance" xsi:type="dcterms:W3CDTF">2026-10-30T09:27:22Z</dcterms:modified>
</cp:coreProperties>
</file>